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1-2 Användare &amp; webbinarier" sheetId="2" state="visible" r:id="rId4"/>
    <sheet name="3-4 Ansvar &amp; GI-mal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<sst xmlns="http://schemas.openxmlformats.org/spreadsheetml/2006/main" count="65" uniqueCount="52">
  <si>
    <t xml:space="preserve">Välkommen till din BSO-onboarding</t>
  </si>
  <si>
    <t xml:space="preserve">Förberedelser inför uppstartsmötet med din Aceve-konsult. Flera superanvändare kan arbeta i filen samtidigt i Excel på webben.</t>
  </si>
  <si>
    <t xml:space="preserve">Din progress</t>
  </si>
  <si>
    <t xml:space="preserve">Steg 1 · Superanvändare (minst 2)</t>
  </si>
  <si>
    <t xml:space="preserve">Beräkning (rör ej)</t>
  </si>
  <si>
    <t xml:space="preserve">Steg 2 · Webbinarier</t>
  </si>
  <si>
    <t xml:space="preserve">Steg 3 · Ansvarsfördelning</t>
  </si>
  <si>
    <t xml:space="preserve">Steg 4 · GI-mall</t>
  </si>
  <si>
    <t xml:space="preserve">Glöm inte att bifoga den ifyllda GI-mallen i mailet.</t>
  </si>
  <si>
    <t xml:space="preserve">Konsultens uppgifter  ·  fylls i av Aceve innan filen delas</t>
  </si>
  <si>
    <t xml:space="preserve">Kundnamn</t>
  </si>
  <si>
    <t xml:space="preserve">%%KUNDNAMN%%</t>
  </si>
  <si>
    <t xml:space="preserve">Konsult</t>
  </si>
  <si>
    <t xml:space="preserve">%%KONSULT%%</t>
  </si>
  <si>
    <t xml:space="preserve">Konsultens e-post</t>
  </si>
  <si>
    <t xml:space="preserve">%%KONSULT_EPOST%%</t>
  </si>
  <si>
    <t xml:space="preserve">Länk till ansvarsfördelning</t>
  </si>
  <si>
    <t xml:space="preserve">%%LANK_ANSVAR%%</t>
  </si>
  <si>
    <t xml:space="preserve">Länk till GI-mall</t>
  </si>
  <si>
    <t xml:space="preserve">%%LANK_GI%%</t>
  </si>
  <si>
    <t xml:space="preserve">Aceve · BSO → Next Project   ·   Strictly confidential – only for internal use</t>
  </si>
  <si>
    <t xml:space="preserve">Steg 1 · Superanvändare</t>
  </si>
  <si>
    <t xml:space="preserve">Lägg till minst 2 personer som ska vara superanvändare i Next. E-posten används för webbinarie-inbjudan.</t>
  </si>
  <si>
    <t xml:space="preserve">Förnamn</t>
  </si>
  <si>
    <t xml:space="preserve">Efternamn</t>
  </si>
  <si>
    <t xml:space="preserve">E-post</t>
  </si>
  <si>
    <t xml:space="preserve">Roll (valfritt)</t>
  </si>
  <si>
    <t xml:space="preserve">Alla superanvändare ska gå alla tre webbinarier. Klicka på länken för att anmäla, välj ✓ när genomfört.</t>
  </si>
  <si>
    <t xml:space="preserve">Superanvändare</t>
  </si>
  <si>
    <t xml:space="preserve">1. Ny i Next</t>
  </si>
  <si>
    <t xml:space="preserve">2. Ekonomiflöde</t>
  </si>
  <si>
    <t xml:space="preserve">3. Budget/inköp</t>
  </si>
  <si>
    <t xml:space="preserve">Status</t>
  </si>
  <si>
    <t xml:space="preserve">Läs igenom dokumentet som beskriver vad Aceve respektive ni som kund ansvarar för under och efter migreringen. Bekräfta sedan att ni läst och förstått.</t>
  </si>
  <si>
    <t xml:space="preserve">Dokument</t>
  </si>
  <si>
    <t xml:space="preserve">Vi har läst och förstår ansvarsfördelningen</t>
  </si>
  <si>
    <t xml:space="preserve">Fyll i flikarna i GI-mallen (Excel-filen ni fått av konsulten). Sätt Status = ✓ när en flik är klar, eller – om den inte är aktuell för er. Obligatoriska flikar måste vara ✓ för att steget ska räknas som klart.</t>
  </si>
  <si>
    <t xml:space="preserve">GI-mall flik</t>
  </si>
  <si>
    <t xml:space="preserve">Obligatorisk?</t>
  </si>
  <si>
    <t xml:space="preserve">Läs detta först!</t>
  </si>
  <si>
    <t xml:space="preserve">Ja</t>
  </si>
  <si>
    <t xml:space="preserve">Företag</t>
  </si>
  <si>
    <t xml:space="preserve">Timpriser</t>
  </si>
  <si>
    <t xml:space="preserve">Prislista</t>
  </si>
  <si>
    <t xml:space="preserve">Projekttyper</t>
  </si>
  <si>
    <t xml:space="preserve">Användarregister</t>
  </si>
  <si>
    <t xml:space="preserve">Betalningsvillkor</t>
  </si>
  <si>
    <t xml:space="preserve">Skattereduktion</t>
  </si>
  <si>
    <t xml:space="preserve">Nej</t>
  </si>
  <si>
    <t xml:space="preserve">Lönetillägg</t>
  </si>
  <si>
    <t xml:space="preserve">Frånvaro</t>
  </si>
  <si>
    <t xml:space="preserve">Påslagsmall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</si>
</sst>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0"/>
      <color rgb="FF2446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6"/>
      <color rgb="FF457951"/>
      <name val="Arial"/>
      <family val="0"/>
      <charset val="1"/>
    </font>
    <font>
      <b val="true"/>
      <sz val="12"/>
      <color rgb="FF457951"/>
      <name val="Arial"/>
      <family val="0"/>
      <charset val="1"/>
    </font>
    <font>
      <sz val="11"/>
      <color rgb="FF24462B"/>
      <name val="Arial"/>
      <family val="0"/>
      <charset val="1"/>
    </font>
    <font>
      <b val="true"/>
      <sz val="11"/>
      <color rgb="FF152F1A"/>
      <name val="Arial"/>
      <family val="0"/>
      <charset val="1"/>
    </font>
    <font>
      <sz val="9"/>
      <color rgb="FFBBBBBB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24462B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457951"/>
      <name val="Arial"/>
      <family val="0"/>
      <charset val="1"/>
    </font>
    <font>
      <b val="true"/>
      <sz val="18"/>
      <color rgb="FF152F1A"/>
      <name val="Arial"/>
      <family val="0"/>
      <charset val="1"/>
    </font>
    <font>
      <b val="true"/>
      <u val="single"/>
      <sz val="11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52F1A"/>
      <name val="Arial"/>
      <family val="0"/>
      <charset val="1"/>
    </font>
    <font>
      <b val="true"/>
      <sz val="10"/>
      <color rgb="FF457951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45795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52F1A"/>
        <bgColor rgb="FF333300"/>
      </patternFill>
    </fill>
    <fill>
      <patternFill patternType="solid">
        <fgColor rgb="FF457951"/>
        <bgColor rgb="FF6B7280"/>
      </patternFill>
    </fill>
    <fill>
      <patternFill patternType="solid">
        <fgColor rgb="FFFBFFF0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BFF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2B97A"/>
      </left>
      <right/>
      <top style="thin">
        <color rgb="FF92B97A"/>
      </top>
      <bottom/>
      <diagonal/>
    </border>
    <border diagonalUp="false" diagonalDown="false">
      <left style="thin">
        <color rgb="FF92B97A"/>
      </left>
      <right/>
      <top style="thin">
        <color rgb="FF92B97A"/>
      </top>
      <bottom style="thin">
        <color rgb="FF92B97A"/>
      </bottom>
      <diagonal/>
    </border>
    <border diagonalUp="false" diagonalDown="false">
      <left style="thin">
        <color rgb="FF92B97A"/>
      </left>
      <right style="thin">
        <color rgb="FF92B97A"/>
      </right>
      <top style="thin">
        <color rgb="FF92B97A"/>
      </top>
      <bottom style="thin">
        <color rgb="FF92B97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52F1A"/>
        <sz val="11"/>
      </font>
      <fill>
        <patternFill>
          <bgColor rgb="FFE1FFAE"/>
        </patternFill>
      </fill>
    </dxf>
    <dxf>
      <font>
        <name val="Arial"/>
        <charset val="1"/>
        <family val="0"/>
        <b val="1"/>
        <color rgb="FF152F1A"/>
        <sz val="13"/>
      </font>
      <fill>
        <patternFill>
          <bgColor rgb="FFE1FFAE"/>
        </patternFill>
      </fill>
    </dxf>
    <dxf>
      <font>
        <name val="Arial"/>
        <charset val="1"/>
        <family val="0"/>
        <b val="1"/>
        <color rgb="FF6B7280"/>
        <sz val="11"/>
      </font>
      <fill>
        <patternFill>
          <bgColor rgb="FFF1F3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BFFF0"/>
      <rgbColor rgb="FFF1F3F0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FFA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2B97A"/>
      <rgbColor rgb="FF003366"/>
      <rgbColor rgb="FF457951"/>
      <rgbColor rgb="FF152F1A"/>
      <rgbColor rgb="FF333300"/>
      <rgbColor rgb="FF993300"/>
      <rgbColor rgb="FF993366"/>
      <rgbColor rgb="FF333399"/>
      <rgbColor rgb="FF2446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2F1A"/>
    <pageSetUpPr fitToPage="false"/>
  </sheetPr>
  <dimension ref="B2:J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3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.5"/>
    <col collapsed="false" customWidth="true" hidden="true" outlineLevel="0" max="10" min="8" style="0" width="13"/>
  </cols>
  <sheetData>
    <row r="2" customFormat="false" ht="27.75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1"/>
      <c r="C3" s="1"/>
      <c r="D3" s="1"/>
      <c r="E3" s="1"/>
    </row>
    <row r="4" customFormat="false" ht="30" hidden="false" customHeight="true" outlineLevel="0" collapsed="false">
      <c r="B4" s="2" t="s">
        <v>1</v>
      </c>
      <c r="C4" s="2"/>
      <c r="D4" s="2"/>
      <c r="E4" s="2"/>
    </row>
    <row r="6" customFormat="false" ht="21.75" hidden="false" customHeight="true" outlineLevel="0" collapsed="false">
      <c r="B6" s="3" t="s">
        <v>2</v>
      </c>
      <c r="C6" s="3"/>
      <c r="D6" s="3"/>
      <c r="E6" s="3"/>
    </row>
    <row r="7" customFormat="false" ht="33.75" hidden="false" customHeight="true" outlineLevel="0" collapsed="false">
      <c r="B7" s="4" t="str">
        <f aca="false">TEXT(J20,"0%")&amp;" klart"</f>
        <v>0% klart</v>
      </c>
      <c r="C7" s="4"/>
    </row>
    <row r="8" customFormat="false" ht="15" hidden="false" customHeight="false" outlineLevel="0" collapsed="false">
      <c r="B8" s="5" t="str">
        <f aca="false">REPT("█",ROUND(J20*20,0))&amp;REPT("░",20-ROUND(J20*20,0))</f>
        <v>░░░░░░░░░░░░░░░░░░░░</v>
      </c>
      <c r="C8" s="5"/>
      <c r="D8" s="5"/>
      <c r="E8" s="5"/>
    </row>
    <row r="10" customFormat="false" ht="15" hidden="false" customHeight="false" outlineLevel="0" collapsed="false">
      <c r="B10" s="6" t="s">
        <v>3</v>
      </c>
      <c r="C10" s="7" t="str">
        <f aca="false">IF(J11,"✅  Klart","⬜  Ej klart ännu")</f>
        <v>⬜  Ej klart ännu</v>
      </c>
      <c r="D10" s="7"/>
      <c r="E10" s="7"/>
      <c r="H10" s="8" t="s">
        <v>4</v>
      </c>
      <c r="I10" s="8"/>
      <c r="J10" s="8"/>
    </row>
    <row r="11" customFormat="false" ht="15" hidden="false" customHeight="false" outlineLevel="0" collapsed="false">
      <c r="B11" s="6" t="s">
        <v>5</v>
      </c>
      <c r="C11" s="7" t="str">
        <f aca="false">IF(J12,"✅  Klart","⬜  Ej klart ännu")</f>
        <v>⬜  Ej klart ännu</v>
      </c>
      <c r="D11" s="7"/>
      <c r="E11" s="7"/>
      <c r="H11" s="8"/>
      <c r="I11" s="8"/>
      <c r="J11" s="9" t="b">
        <f aca="false">IF('1-2 Användare &amp; webbinarier'!$F$4&gt;=2,TRUE(),FALSE())</f>
        <v>0</v>
      </c>
    </row>
    <row r="12" customFormat="false" ht="15" hidden="false" customHeight="false" outlineLevel="0" collapsed="false">
      <c r="B12" s="6" t="s">
        <v>6</v>
      </c>
      <c r="C12" s="7" t="str">
        <f aca="false">IF(J13,"✅  Klart","⬜  Ej klart ännu")</f>
        <v>⬜  Ej klart ännu</v>
      </c>
      <c r="D12" s="7"/>
      <c r="E12" s="7"/>
      <c r="H12" s="8"/>
      <c r="I12" s="8"/>
      <c r="J12" s="9" t="b">
        <f aca="false">IF(AND(COUNTIF('1-2 Användare &amp; webbinarier'!A23:A30,"?*")&gt;=2,SUM('1-2 Användare &amp; webbinarier'!G23:G30)=COUNTIF('1-2 Användare &amp; webbinarier'!A23:A30,"?*")),TRUE(),FALSE())</f>
        <v>0</v>
      </c>
    </row>
    <row r="13" customFormat="false" ht="15" hidden="false" customHeight="false" outlineLevel="0" collapsed="false">
      <c r="B13" s="6" t="s">
        <v>7</v>
      </c>
      <c r="C13" s="7" t="str">
        <f aca="false">IF(J14,"✅  Klart","⬜  Ej klart ännu")</f>
        <v>⬜  Ej klart ännu</v>
      </c>
      <c r="D13" s="7"/>
      <c r="E13" s="7"/>
      <c r="H13" s="8"/>
      <c r="I13" s="8"/>
      <c r="J13" s="9" t="b">
        <f aca="false">IF('3-4 Ansvar &amp; GI-mall'!$C$6="✓",TRUE(),FALSE())</f>
        <v>0</v>
      </c>
    </row>
    <row r="14" customFormat="false" ht="15" hidden="false" customHeight="false" outlineLevel="0" collapsed="false">
      <c r="H14" s="8"/>
      <c r="I14" s="8"/>
      <c r="J14" s="9" t="b">
        <f aca="false">IF(AND(COUNTIF('3-4 Ansvar &amp; GI-mall'!C14:C24,"Ja")&gt;0,COUNTIFS('3-4 Ansvar &amp; GI-mall'!C14:C24,"Ja",'3-4 Ansvar &amp; GI-mall'!D14:D24,"✓")=COUNTIF('3-4 Ansvar &amp; GI-mall'!C14:C24,"Ja")),TRUE(),FALSE())</f>
        <v>0</v>
      </c>
    </row>
    <row r="15" customFormat="false" ht="15" hidden="false" customHeight="false" outlineLevel="0" collapsed="false">
      <c r="H15" s="8"/>
      <c r="I15" s="8"/>
      <c r="J15" s="8"/>
    </row>
    <row r="16" customFormat="false" ht="19.5" hidden="false" customHeight="true" outlineLevel="0" collapsed="false">
      <c r="B16" s="10" t="str">
        <f aca="false">IF(AND(J11,J12,J13,J14),HYPERLINK("mailto:"&amp;$C$23&amp;"?subject=BSO-onboarding klar - "&amp;$C$21,"✅  Boka uppstartsmöte – klicka för att maila din konsult"),"🔒  Slutför alla fyra steg för att låsa upp bokningen")</f>
        <v>🔒  Slutför alla fyra steg för att låsa upp bokningen</v>
      </c>
      <c r="C16" s="10"/>
      <c r="D16" s="10"/>
      <c r="E16" s="10"/>
      <c r="H16" s="8"/>
      <c r="I16" s="8"/>
      <c r="J16" s="8"/>
    </row>
    <row r="17" customFormat="false" ht="15.75" hidden="false" customHeight="true" outlineLevel="0" collapsed="false">
      <c r="B17" s="10"/>
      <c r="C17" s="10"/>
      <c r="D17" s="10"/>
      <c r="E17" s="10"/>
      <c r="H17" s="8"/>
      <c r="I17" s="8"/>
      <c r="J17" s="8"/>
    </row>
    <row r="18" customFormat="false" ht="15" hidden="false" customHeight="false" outlineLevel="0" collapsed="false">
      <c r="B18" s="11" t="s">
        <v>8</v>
      </c>
      <c r="C18" s="11"/>
      <c r="D18" s="11"/>
      <c r="E18" s="11"/>
      <c r="H18" s="8"/>
      <c r="I18" s="8"/>
      <c r="J18" s="8"/>
    </row>
    <row r="19" customFormat="false" ht="15" hidden="false" customHeight="false" outlineLevel="0" collapsed="false">
      <c r="H19" s="8"/>
      <c r="I19" s="8"/>
      <c r="J19" s="8"/>
    </row>
    <row r="20" customFormat="false" ht="21.75" hidden="false" customHeight="true" outlineLevel="0" collapsed="false">
      <c r="B20" s="3" t="s">
        <v>9</v>
      </c>
      <c r="C20" s="3"/>
      <c r="D20" s="3"/>
      <c r="E20" s="3"/>
      <c r="H20" s="8"/>
      <c r="I20" s="8"/>
      <c r="J20" s="8" t="n">
        <f aca="false">(--J11+--J12+--J13+--J14)/4</f>
        <v>0</v>
      </c>
    </row>
    <row r="21" customFormat="false" ht="15" hidden="false" customHeight="true" outlineLevel="0" collapsed="false">
      <c r="B21" s="12" t="s">
        <v>10</v>
      </c>
      <c r="C21" s="13" t="s">
        <v>11</v>
      </c>
      <c r="D21" s="13"/>
      <c r="E21" s="13"/>
    </row>
    <row r="22" customFormat="false" ht="15" hidden="false" customHeight="true" outlineLevel="0" collapsed="false">
      <c r="B22" s="12" t="s">
        <v>12</v>
      </c>
      <c r="C22" s="13" t="s">
        <v>13</v>
      </c>
      <c r="D22" s="13"/>
      <c r="E22" s="13"/>
    </row>
    <row r="23" customFormat="false" ht="15" hidden="false" customHeight="true" outlineLevel="0" collapsed="false">
      <c r="B23" s="12" t="s">
        <v>14</v>
      </c>
      <c r="C23" s="13" t="s">
        <v>15</v>
      </c>
      <c r="D23" s="13"/>
      <c r="E23" s="13"/>
    </row>
    <row r="24" customFormat="false" ht="15" hidden="false" customHeight="true" outlineLevel="0" collapsed="false">
      <c r="B24" s="12" t="s">
        <v>16</v>
      </c>
      <c r="C24" s="13" t="s">
        <v>17</v>
      </c>
      <c r="D24" s="13"/>
      <c r="E24" s="13"/>
    </row>
    <row r="25" customFormat="false" ht="15" hidden="false" customHeight="true" outlineLevel="0" collapsed="false">
      <c r="B25" s="12" t="s">
        <v>18</v>
      </c>
      <c r="C25" s="13" t="s">
        <v>19</v>
      </c>
      <c r="D25" s="13"/>
      <c r="E25" s="13"/>
    </row>
    <row r="27" customFormat="false" ht="15" hidden="false" customHeight="false" outlineLevel="0" collapsed="false">
      <c r="B27" s="14" t="s">
        <v>20</v>
      </c>
      <c r="C27" s="14"/>
      <c r="D27" s="14"/>
      <c r="E27" s="14"/>
    </row>
  </sheetData>
  <mergeCells count="18">
    <mergeCell ref="B2:E3"/>
    <mergeCell ref="B4:E4"/>
    <mergeCell ref="B6:E6"/>
    <mergeCell ref="B7:C7"/>
    <mergeCell ref="B8:E8"/>
    <mergeCell ref="C10:E10"/>
    <mergeCell ref="C11:E11"/>
    <mergeCell ref="C12:E12"/>
    <mergeCell ref="C13:E13"/>
    <mergeCell ref="B16:E17"/>
    <mergeCell ref="B18:E18"/>
    <mergeCell ref="B20:E20"/>
    <mergeCell ref="C21:E21"/>
    <mergeCell ref="C22:E22"/>
    <mergeCell ref="C23:E23"/>
    <mergeCell ref="C24:E24"/>
    <mergeCell ref="C25:E25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95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true" outlineLevel="0" max="7" min="7" style="0" width="8"/>
  </cols>
  <sheetData>
    <row r="1" customFormat="false" ht="22.05" hidden="false" customHeight="false" outlineLevel="0" collapsed="false">
      <c r="A1" s="15" t="s">
        <v>21</v>
      </c>
      <c r="B1" s="15"/>
      <c r="C1" s="15"/>
      <c r="D1" s="15"/>
      <c r="E1" s="15"/>
    </row>
    <row r="2" customFormat="false" ht="27.75" hidden="false" customHeight="true" outlineLevel="0" collapsed="false">
      <c r="A2" s="2" t="s">
        <v>22</v>
      </c>
      <c r="B2" s="2"/>
      <c r="C2" s="2"/>
      <c r="D2" s="2"/>
      <c r="E2" s="2"/>
    </row>
    <row r="4" customFormat="false" ht="19.5" hidden="false" customHeight="true" outlineLevel="0" collapsed="false">
      <c r="A4" s="16" t="s">
        <v>23</v>
      </c>
      <c r="B4" s="16" t="s">
        <v>24</v>
      </c>
      <c r="C4" s="16" t="s">
        <v>25</v>
      </c>
      <c r="D4" s="16" t="s">
        <v>26</v>
      </c>
      <c r="F4" s="8" t="n">
        <f aca="false">SUMPRODUCT(--(A5:A12&lt;&gt;""),--(B5:B12&lt;&gt;""),--(ISNUMBER(SEARCH("@",C5:C12))))</f>
        <v>0</v>
      </c>
    </row>
    <row r="5" customFormat="false" ht="15" hidden="false" customHeight="false" outlineLevel="0" collapsed="false">
      <c r="A5" s="17"/>
      <c r="B5" s="17"/>
      <c r="C5" s="17"/>
      <c r="D5" s="17"/>
    </row>
    <row r="6" customFormat="false" ht="15" hidden="false" customHeight="false" outlineLevel="0" collapsed="false">
      <c r="A6" s="18"/>
      <c r="B6" s="18"/>
      <c r="C6" s="18"/>
      <c r="D6" s="18"/>
    </row>
    <row r="7" customFormat="false" ht="15" hidden="false" customHeight="false" outlineLevel="0" collapsed="false">
      <c r="A7" s="17"/>
      <c r="B7" s="17"/>
      <c r="C7" s="17"/>
      <c r="D7" s="17"/>
    </row>
    <row r="8" customFormat="false" ht="15" hidden="false" customHeight="false" outlineLevel="0" collapsed="false">
      <c r="A8" s="18"/>
      <c r="B8" s="18"/>
      <c r="C8" s="18"/>
      <c r="D8" s="18"/>
    </row>
    <row r="9" customFormat="false" ht="15" hidden="false" customHeight="false" outlineLevel="0" collapsed="false">
      <c r="A9" s="17"/>
      <c r="B9" s="17"/>
      <c r="C9" s="17"/>
      <c r="D9" s="17"/>
    </row>
    <row r="10" customFormat="false" ht="15" hidden="false" customHeight="false" outlineLevel="0" collapsed="false">
      <c r="A10" s="18"/>
      <c r="B10" s="18"/>
      <c r="C10" s="18"/>
      <c r="D10" s="18"/>
    </row>
    <row r="11" customFormat="false" ht="15" hidden="false" customHeight="false" outlineLevel="0" collapsed="false">
      <c r="A11" s="17"/>
      <c r="B11" s="17"/>
      <c r="C11" s="17"/>
      <c r="D11" s="17"/>
    </row>
    <row r="12" customFormat="false" ht="15" hidden="false" customHeight="false" outlineLevel="0" collapsed="false">
      <c r="A12" s="18"/>
      <c r="B12" s="18"/>
      <c r="C12" s="18"/>
      <c r="D12" s="18"/>
    </row>
    <row r="15" customFormat="false" ht="22.05" hidden="false" customHeight="false" outlineLevel="0" collapsed="false">
      <c r="A15" s="15" t="s">
        <v>5</v>
      </c>
      <c r="B15" s="15"/>
      <c r="C15" s="15"/>
      <c r="D15" s="15"/>
      <c r="E15" s="15"/>
    </row>
    <row r="16" customFormat="false" ht="27.75" hidden="false" customHeight="true" outlineLevel="0" collapsed="false">
      <c r="A16" s="2" t="s">
        <v>27</v>
      </c>
      <c r="B16" s="2"/>
      <c r="C16" s="2"/>
      <c r="D16" s="2"/>
      <c r="E16" s="2"/>
    </row>
    <row r="18" customFormat="false" ht="21.75" hidden="false" customHeight="true" outlineLevel="0" collapsed="false">
      <c r="A18" s="19" t="str">
        <f aca="false">HYPERLINK("https://helpdesk.next-tech.com/hc/sv/articles/24122929562524-Webinar-Ny-i-Next-2025-12-02","▶  1. Ny i Next")</f>
        <v>▶  1. Ny i Next</v>
      </c>
      <c r="B18" s="19"/>
      <c r="C18" s="19"/>
      <c r="D18" s="19"/>
      <c r="E18" s="19"/>
    </row>
    <row r="19" customFormat="false" ht="21.75" hidden="false" customHeight="true" outlineLevel="0" collapsed="false">
      <c r="A19" s="19" t="str">
        <f aca="false">HYPERLINK("https://helpdesk.next-tech.com/hc/sv/articles/22232333563676-Webinar-Grundl%C3%A4ggande-ekonomifl%C3%B6de-i-Next-2025-09-09","▶  2. Grundläggande ekonomiflöde i Next")</f>
        <v>▶  2. Grundläggande ekonomiflöde i Next</v>
      </c>
      <c r="B19" s="19"/>
      <c r="C19" s="19"/>
      <c r="D19" s="19"/>
      <c r="E19" s="19"/>
    </row>
    <row r="20" customFormat="false" ht="21.75" hidden="false" customHeight="true" outlineLevel="0" collapsed="false">
      <c r="A20" s="19" t="str">
        <f aca="false">HYPERLINK("https://helpdesk.next-tech.com/hc/sv/articles/26692106514716-Webinar-Budget-ink%C3%B6p-och-prognos-2026-04-09","▶  3. Budget, inköp och prognos")</f>
        <v>▶  3. Budget, inköp och prognos</v>
      </c>
      <c r="B20" s="19"/>
      <c r="C20" s="19"/>
      <c r="D20" s="19"/>
      <c r="E20" s="19"/>
    </row>
    <row r="22" customFormat="false" ht="27.75" hidden="false" customHeight="true" outlineLevel="0" collapsed="false">
      <c r="A22" s="20" t="s">
        <v>28</v>
      </c>
      <c r="B22" s="20" t="s">
        <v>29</v>
      </c>
      <c r="C22" s="20" t="s">
        <v>30</v>
      </c>
      <c r="D22" s="20" t="s">
        <v>31</v>
      </c>
      <c r="E22" s="20" t="s">
        <v>32</v>
      </c>
      <c r="G22" s="8" t="str">
        <f aca="false">A23&amp;IF(A24="","",", "&amp;A24)&amp;IF(A25="","",", "&amp;A25)&amp;IF(A26="","",", "&amp;A26)&amp;IF(A27="","",", "&amp;A27)&amp;IF(A28="","",", "&amp;A28)&amp;IF(A29="","",", "&amp;A29)&amp;IF(A30="","",", "&amp;A30)</f>
        <v/>
      </c>
    </row>
    <row r="23" customFormat="false" ht="15" hidden="false" customHeight="false" outlineLevel="0" collapsed="false">
      <c r="A23" s="21" t="str">
        <f aca="false">IF('1-2 Användare &amp; webbinarier'!B5="","",'1-2 Användare &amp; webbinarier'!B5&amp;" "&amp;'1-2 Användare &amp; webbinarier'!C5)</f>
        <v/>
      </c>
      <c r="B23" s="22"/>
      <c r="C23" s="22"/>
      <c r="D23" s="22"/>
      <c r="E23" s="23" t="str">
        <f aca="false">IF(A23="","",IF(COUNTIF(B23:D23,"✓")=3,"✅ Klar","Pågår"))</f>
        <v/>
      </c>
      <c r="G23" s="8" t="str">
        <f aca="false">IF(A23="","",IF(COUNTIF(B23:D23,"✓")=3,1,0))</f>
        <v/>
      </c>
    </row>
    <row r="24" customFormat="false" ht="15" hidden="false" customHeight="false" outlineLevel="0" collapsed="false">
      <c r="A24" s="24" t="str">
        <f aca="false">IF('1-2 Användare &amp; webbinarier'!B6="","",'1-2 Användare &amp; webbinarier'!B6&amp;" "&amp;'1-2 Användare &amp; webbinarier'!C6)</f>
        <v/>
      </c>
      <c r="B24" s="25"/>
      <c r="C24" s="25"/>
      <c r="D24" s="25"/>
      <c r="E24" s="26" t="str">
        <f aca="false">IF(A24="","",IF(COUNTIF(B24:D24,"✓")=3,"✅ Klar","Pågår"))</f>
        <v/>
      </c>
      <c r="G24" s="8" t="str">
        <f aca="false">IF(A24="","",IF(COUNTIF(B24:D24,"✓")=3,1,0))</f>
        <v/>
      </c>
    </row>
    <row r="25" customFormat="false" ht="15" hidden="false" customHeight="false" outlineLevel="0" collapsed="false">
      <c r="A25" s="21" t="str">
        <f aca="false">IF('1-2 Användare &amp; webbinarier'!B7="","",'1-2 Användare &amp; webbinarier'!B7&amp;" "&amp;'1-2 Användare &amp; webbinarier'!C7)</f>
        <v/>
      </c>
      <c r="B25" s="22"/>
      <c r="C25" s="22"/>
      <c r="D25" s="22"/>
      <c r="E25" s="23" t="str">
        <f aca="false">IF(A25="","",IF(COUNTIF(B25:D25,"✓")=3,"✅ Klar","Pågår"))</f>
        <v/>
      </c>
      <c r="G25" s="8" t="str">
        <f aca="false">IF(A25="","",IF(COUNTIF(B25:D25,"✓")=3,1,0))</f>
        <v/>
      </c>
    </row>
    <row r="26" customFormat="false" ht="15" hidden="false" customHeight="false" outlineLevel="0" collapsed="false">
      <c r="A26" s="24" t="str">
        <f aca="false">IF('1-2 Användare &amp; webbinarier'!B8="","",'1-2 Användare &amp; webbinarier'!B8&amp;" "&amp;'1-2 Användare &amp; webbinarier'!C8)</f>
        <v/>
      </c>
      <c r="B26" s="25"/>
      <c r="C26" s="25"/>
      <c r="D26" s="25"/>
      <c r="E26" s="26" t="str">
        <f aca="false">IF(A26="","",IF(COUNTIF(B26:D26,"✓")=3,"✅ Klar","Pågår"))</f>
        <v/>
      </c>
      <c r="G26" s="8" t="str">
        <f aca="false">IF(A26="","",IF(COUNTIF(B26:D26,"✓")=3,1,0))</f>
        <v/>
      </c>
    </row>
    <row r="27" customFormat="false" ht="15" hidden="false" customHeight="false" outlineLevel="0" collapsed="false">
      <c r="A27" s="21" t="str">
        <f aca="false">IF('1-2 Användare &amp; webbinarier'!B9="","",'1-2 Användare &amp; webbinarier'!B9&amp;" "&amp;'1-2 Användare &amp; webbinarier'!C9)</f>
        <v/>
      </c>
      <c r="B27" s="22"/>
      <c r="C27" s="22"/>
      <c r="D27" s="22"/>
      <c r="E27" s="23" t="str">
        <f aca="false">IF(A27="","",IF(COUNTIF(B27:D27,"✓")=3,"✅ Klar","Pågår"))</f>
        <v/>
      </c>
      <c r="G27" s="8" t="str">
        <f aca="false">IF(A27="","",IF(COUNTIF(B27:D27,"✓")=3,1,0))</f>
        <v/>
      </c>
    </row>
    <row r="28" customFormat="false" ht="15" hidden="false" customHeight="false" outlineLevel="0" collapsed="false">
      <c r="A28" s="24" t="str">
        <f aca="false">IF('1-2 Användare &amp; webbinarier'!B10="","",'1-2 Användare &amp; webbinarier'!B10&amp;" "&amp;'1-2 Användare &amp; webbinarier'!C10)</f>
        <v/>
      </c>
      <c r="B28" s="25"/>
      <c r="C28" s="25"/>
      <c r="D28" s="25"/>
      <c r="E28" s="26" t="str">
        <f aca="false">IF(A28="","",IF(COUNTIF(B28:D28,"✓")=3,"✅ Klar","Pågår"))</f>
        <v/>
      </c>
      <c r="G28" s="8" t="str">
        <f aca="false">IF(A28="","",IF(COUNTIF(B28:D28,"✓")=3,1,0))</f>
        <v/>
      </c>
    </row>
    <row r="29" customFormat="false" ht="15" hidden="false" customHeight="false" outlineLevel="0" collapsed="false">
      <c r="A29" s="21" t="str">
        <f aca="false">IF('1-2 Användare &amp; webbinarier'!B11="","",'1-2 Användare &amp; webbinarier'!B11&amp;" "&amp;'1-2 Användare &amp; webbinarier'!C11)</f>
        <v/>
      </c>
      <c r="B29" s="22"/>
      <c r="C29" s="22"/>
      <c r="D29" s="22"/>
      <c r="E29" s="23" t="str">
        <f aca="false">IF(A29="","",IF(COUNTIF(B29:D29,"✓")=3,"✅ Klar","Pågår"))</f>
        <v/>
      </c>
      <c r="G29" s="8" t="str">
        <f aca="false">IF(A29="","",IF(COUNTIF(B29:D29,"✓")=3,1,0))</f>
        <v/>
      </c>
    </row>
    <row r="30" customFormat="false" ht="15" hidden="false" customHeight="false" outlineLevel="0" collapsed="false">
      <c r="A30" s="24" t="str">
        <f aca="false">IF('1-2 Användare &amp; webbinarier'!B12="","",'1-2 Användare &amp; webbinarier'!B12&amp;" "&amp;'1-2 Användare &amp; webbinarier'!C12)</f>
        <v/>
      </c>
      <c r="B30" s="25"/>
      <c r="C30" s="25"/>
      <c r="D30" s="25"/>
      <c r="E30" s="26" t="str">
        <f aca="false">IF(A30="","",IF(COUNTIF(B30:D30,"✓")=3,"✅ Klar","Pågår"))</f>
        <v/>
      </c>
      <c r="G30" s="8" t="str">
        <f aca="false">IF(A30="","",IF(COUNTIF(B30:D30,"✓")=3,1,0))</f>
        <v/>
      </c>
    </row>
  </sheetData>
  <mergeCells count="7">
    <mergeCell ref="A1:E1"/>
    <mergeCell ref="A2:E2"/>
    <mergeCell ref="A15:E15"/>
    <mergeCell ref="A16:E16"/>
    <mergeCell ref="A18:E18"/>
    <mergeCell ref="A19:E19"/>
    <mergeCell ref="A20:E20"/>
  </mergeCells>
  <conditionalFormatting sqref="B23:D30">
    <cfRule type="cellIs" priority="2" operator="equal" aboveAverage="0" equalAverage="0" bottom="0" percent="0" rank="0" text="" dxfId="0">
      <formula>"✓"</formula>
    </cfRule>
  </conditionalFormatting>
  <dataValidations count="1">
    <dataValidation allowBlank="true" errorStyle="stop" operator="between" showDropDown="false" showErrorMessage="false" showInputMessage="false" sqref="B23:D30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951"/>
    <pageSetUpPr fitToPage="false"/>
  </sheetPr>
  <dimension ref="B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.5"/>
  </cols>
  <sheetData>
    <row r="1" customFormat="false" ht="27.75" hidden="false" customHeight="true" outlineLevel="0" collapsed="false">
      <c r="B1" s="15" t="s">
        <v>6</v>
      </c>
      <c r="C1" s="15"/>
      <c r="D1" s="15"/>
    </row>
    <row r="2" customFormat="false" ht="18" hidden="false" customHeight="true" outlineLevel="0" collapsed="false">
      <c r="B2" s="2" t="s">
        <v>33</v>
      </c>
      <c r="C2" s="2"/>
      <c r="D2" s="2"/>
    </row>
    <row r="3" customFormat="false" ht="18" hidden="false" customHeight="true" outlineLevel="0" collapsed="false">
      <c r="B3" s="2"/>
      <c r="C3" s="2"/>
      <c r="D3" s="2"/>
    </row>
    <row r="4" customFormat="false" ht="7.5" hidden="false" customHeight="true" outlineLevel="0" collapsed="false"/>
    <row r="5" customFormat="false" ht="21.75" hidden="false" customHeight="true" outlineLevel="0" collapsed="false">
      <c r="B5" s="12" t="s">
        <v>34</v>
      </c>
      <c r="C5" s="27" t="str">
        <f aca="false">IF(Start!$C$24="%%LANK_ANSVAR%%","(länk fylls i av konsulten)",HYPERLINK(Start!$C$24,"Öppna ansvarsfördelningen"))</f>
        <v>(länk fylls i av konsulten)</v>
      </c>
      <c r="D5" s="27"/>
    </row>
    <row r="6" customFormat="false" ht="25.5" hidden="false" customHeight="true" outlineLevel="0" collapsed="false">
      <c r="B6" s="28" t="s">
        <v>35</v>
      </c>
      <c r="C6" s="22"/>
    </row>
    <row r="7" customFormat="false" ht="15.75" hidden="false" customHeight="true" outlineLevel="0" collapsed="false"/>
    <row r="8" customFormat="false" ht="27.75" hidden="false" customHeight="true" outlineLevel="0" collapsed="false">
      <c r="B8" s="15" t="s">
        <v>7</v>
      </c>
      <c r="C8" s="15"/>
      <c r="D8" s="15"/>
    </row>
    <row r="9" customFormat="false" ht="18" hidden="false" customHeight="true" outlineLevel="0" collapsed="false">
      <c r="B9" s="2" t="s">
        <v>36</v>
      </c>
      <c r="C9" s="2"/>
      <c r="D9" s="2"/>
    </row>
    <row r="10" customFormat="false" ht="18" hidden="false" customHeight="true" outlineLevel="0" collapsed="false">
      <c r="B10" s="2"/>
      <c r="C10" s="2"/>
      <c r="D10" s="2"/>
    </row>
    <row r="11" customFormat="false" ht="21.75" hidden="false" customHeight="true" outlineLevel="0" collapsed="false">
      <c r="B11" s="19" t="str">
        <f aca="false">IF(Start!$C$25="%%LANK_GI%%","(GI-länk fylls i av konsulten)",HYPERLINK(Start!$C$25,"▶  Öppna GI-mallen"))</f>
        <v>(GI-länk fylls i av konsulten)</v>
      </c>
      <c r="C11" s="19"/>
      <c r="D11" s="19"/>
    </row>
    <row r="12" customFormat="false" ht="7.5" hidden="false" customHeight="true" outlineLevel="0" collapsed="false"/>
    <row r="13" customFormat="false" ht="21.75" hidden="false" customHeight="true" outlineLevel="0" collapsed="false">
      <c r="B13" s="29" t="s">
        <v>37</v>
      </c>
      <c r="C13" s="30" t="s">
        <v>38</v>
      </c>
      <c r="D13" s="30" t="s">
        <v>32</v>
      </c>
    </row>
    <row r="14" customFormat="false" ht="19.5" hidden="false" customHeight="true" outlineLevel="0" collapsed="false">
      <c r="B14" s="31" t="s">
        <v>39</v>
      </c>
      <c r="C14" s="32" t="s">
        <v>40</v>
      </c>
      <c r="D14" s="25"/>
    </row>
    <row r="15" customFormat="false" ht="19.5" hidden="false" customHeight="true" outlineLevel="0" collapsed="false">
      <c r="B15" s="33" t="s">
        <v>41</v>
      </c>
      <c r="C15" s="34" t="s">
        <v>40</v>
      </c>
      <c r="D15" s="22"/>
    </row>
    <row r="16" customFormat="false" ht="19.5" hidden="false" customHeight="true" outlineLevel="0" collapsed="false">
      <c r="B16" s="31" t="s">
        <v>42</v>
      </c>
      <c r="C16" s="32" t="s">
        <v>40</v>
      </c>
      <c r="D16" s="25"/>
    </row>
    <row r="17" customFormat="false" ht="19.5" hidden="false" customHeight="true" outlineLevel="0" collapsed="false">
      <c r="B17" s="33" t="s">
        <v>43</v>
      </c>
      <c r="C17" s="34" t="s">
        <v>40</v>
      </c>
      <c r="D17" s="22"/>
    </row>
    <row r="18" customFormat="false" ht="19.5" hidden="false" customHeight="true" outlineLevel="0" collapsed="false">
      <c r="B18" s="31" t="s">
        <v>44</v>
      </c>
      <c r="C18" s="32" t="s">
        <v>40</v>
      </c>
      <c r="D18" s="25"/>
    </row>
    <row r="19" customFormat="false" ht="19.5" hidden="false" customHeight="true" outlineLevel="0" collapsed="false">
      <c r="B19" s="33" t="s">
        <v>45</v>
      </c>
      <c r="C19" s="34" t="s">
        <v>40</v>
      </c>
      <c r="D19" s="22"/>
    </row>
    <row r="20" customFormat="false" ht="19.5" hidden="false" customHeight="true" outlineLevel="0" collapsed="false">
      <c r="B20" s="31" t="s">
        <v>46</v>
      </c>
      <c r="C20" s="32" t="s">
        <v>40</v>
      </c>
      <c r="D20" s="25"/>
    </row>
    <row r="21" customFormat="false" ht="19.5" hidden="false" customHeight="true" outlineLevel="0" collapsed="false">
      <c r="B21" s="33" t="s">
        <v>47</v>
      </c>
      <c r="C21" s="35" t="s">
        <v>48</v>
      </c>
      <c r="D21" s="22"/>
    </row>
    <row r="22" customFormat="false" ht="19.5" hidden="false" customHeight="true" outlineLevel="0" collapsed="false">
      <c r="B22" s="31" t="s">
        <v>49</v>
      </c>
      <c r="C22" s="36" t="s">
        <v>48</v>
      </c>
      <c r="D22" s="25"/>
    </row>
    <row r="23" customFormat="false" ht="19.5" hidden="false" customHeight="true" outlineLevel="0" collapsed="false">
      <c r="B23" s="33" t="s">
        <v>50</v>
      </c>
      <c r="C23" s="35" t="s">
        <v>48</v>
      </c>
      <c r="D23" s="22"/>
    </row>
    <row r="24" customFormat="false" ht="19.5" hidden="false" customHeight="true" outlineLevel="0" collapsed="false">
      <c r="B24" s="31" t="s">
        <v>51</v>
      </c>
      <c r="C24" s="36" t="s">
        <v>48</v>
      </c>
      <c r="D24" s="25"/>
    </row>
    <row r="25" customFormat="false" ht="7.5" hidden="false" customHeight="true" outlineLevel="0" collapsed="false"/>
    <row r="26" customFormat="false" ht="15" hidden="false" customHeight="false" outlineLevel="0" collapsed="false">
      <c r="B26" s="37" t="str">
        <f aca="false">COUNTIFS(C14:C24,"Ja",D14:D24,"✓")&amp;" / "&amp;COUNTIF(C14:C24,"Ja")&amp;" obligatoriska flikar klara"</f>
        <v>0 / 7 obligatoriska flikar klara</v>
      </c>
    </row>
    <row r="27" customFormat="false" ht="15" hidden="false" customHeight="false" outlineLevel="0" collapsed="false">
      <c r="B27" s="38" t="str">
        <f aca="false">COUNTIF(D14:D24,"✓")&amp;" flikar markerade som klara totalt (ju fler desto bättre)"</f>
        <v>0 flikar markerade som klara totalt (ju fler desto bättre)</v>
      </c>
    </row>
  </sheetData>
  <mergeCells count="6">
    <mergeCell ref="B1:D1"/>
    <mergeCell ref="B2:D3"/>
    <mergeCell ref="C5:D5"/>
    <mergeCell ref="B8:D8"/>
    <mergeCell ref="B9:D10"/>
    <mergeCell ref="B11:D11"/>
  </mergeCells>
  <conditionalFormatting sqref="C6">
    <cfRule type="cellIs" priority="2" operator="equal" aboveAverage="0" equalAverage="0" bottom="0" percent="0" rank="0" text="" dxfId="1">
      <formula>"✓"</formula>
    </cfRule>
  </conditionalFormatting>
  <conditionalFormatting sqref="D14:D24">
    <cfRule type="cellIs" priority="3" operator="equal" aboveAverage="0" equalAverage="0" bottom="0" percent="0" rank="0" text="" dxfId="0">
      <formula>"✓"</formula>
    </cfRule>
    <cfRule type="cellIs" priority="4" operator="equal" aboveAverage="0" equalAverage="0" bottom="0" percent="0" rank="0" text="" dxfId="2">
      <formula>"–"</formula>
    </cfRule>
  </conditionalFormatting>
  <dataValidations count="3">
    <dataValidation allowBlank="true" errorStyle="stop" operator="between" showDropDown="false" showErrorMessage="false" showInputMessage="false" sqref="C6" type="list">
      <formula1>"✓"</formula1>
      <formula2>0</formula2>
    </dataValidation>
    <dataValidation allowBlank="false" errorStyle="stop" operator="between" showDropDown="false" showErrorMessage="false" showInputMessage="false" sqref="C14:C24" type="list">
      <formula1>"Ja,Nej"</formula1>
      <formula2>0</formula2>
    </dataValidation>
    <dataValidation allowBlank="true" errorStyle="stop" operator="between" showDropDown="false" showErrorMessage="false" showInputMessage="false" sqref="D14:D24" type="list">
      <formula1>"✓,–"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2026-06-10T15:13:02Z</dcterms:created>
  <dc:creator>openpyxl</dc:creator>
  <dc:description/>
  <dc:language>en-US</dc:language>
  <cp:lastModifiedBy/>
  <dcterms:modified xsi:type="dcterms:W3CDTF">2026-06-10T15:13:02Z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